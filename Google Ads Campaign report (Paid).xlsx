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anya\Downloads\Sukanya\Career\SEO Portfolio\"/>
    </mc:Choice>
  </mc:AlternateContent>
  <xr:revisionPtr revIDLastSave="0" documentId="8_{DB2EC12E-73C4-472A-96B5-BAD4D3D20B08}" xr6:coauthVersionLast="47" xr6:coauthVersionMax="47" xr10:uidLastSave="{00000000-0000-0000-0000-000000000000}"/>
  <bookViews>
    <workbookView xWindow="-108" yWindow="-108" windowWidth="23256" windowHeight="12456" xr2:uid="{929507E3-389D-4FC3-A820-9FB1D8E865EE}"/>
  </bookViews>
  <sheets>
    <sheet name="September" sheetId="1" r:id="rId1"/>
    <sheet name="August" sheetId="6" r:id="rId2"/>
    <sheet name="July" sheetId="5" r:id="rId3"/>
    <sheet name="June" sheetId="7" r:id="rId4"/>
    <sheet name="Google Ads" sheetId="9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6" l="1"/>
  <c r="P6" i="6"/>
  <c r="P7" i="6"/>
  <c r="P8" i="6"/>
  <c r="P9" i="6"/>
</calcChain>
</file>

<file path=xl/sharedStrings.xml><?xml version="1.0" encoding="utf-8"?>
<sst xmlns="http://schemas.openxmlformats.org/spreadsheetml/2006/main" count="215" uniqueCount="34">
  <si>
    <t>September 1, 2025 - September 30, 2025</t>
  </si>
  <si>
    <t>Campaign status</t>
  </si>
  <si>
    <t>Campaign</t>
  </si>
  <si>
    <t>Budget</t>
  </si>
  <si>
    <t>Budget type</t>
  </si>
  <si>
    <t>Optimization score</t>
  </si>
  <si>
    <t>Campaign type</t>
  </si>
  <si>
    <t>Clicks</t>
  </si>
  <si>
    <t>Impr.</t>
  </si>
  <si>
    <t>CTR</t>
  </si>
  <si>
    <t>Avg. CPC</t>
  </si>
  <si>
    <t>Cost</t>
  </si>
  <si>
    <t>Conversions</t>
  </si>
  <si>
    <t>Cost / conv.</t>
  </si>
  <si>
    <t>Conv. rate</t>
  </si>
  <si>
    <t>Bid strategy type</t>
  </si>
  <si>
    <t>Enabled</t>
  </si>
  <si>
    <t>Trial Access</t>
  </si>
  <si>
    <t>Daily</t>
  </si>
  <si>
    <t>Search</t>
  </si>
  <si>
    <t>INR</t>
  </si>
  <si>
    <t>Maximize Conversions</t>
  </si>
  <si>
    <t>Tender Add</t>
  </si>
  <si>
    <t>Total: Campaigns</t>
  </si>
  <si>
    <t xml:space="preserve"> --</t>
  </si>
  <si>
    <t>Total: Account</t>
  </si>
  <si>
    <t>Total: Search</t>
  </si>
  <si>
    <t>Currency</t>
  </si>
  <si>
    <t>August 1, 2025 - August 31, 2025</t>
  </si>
  <si>
    <t>July 1, 2025 - July 31, 2025</t>
  </si>
  <si>
    <t>June 1, 2025 - June 30, 2025</t>
  </si>
  <si>
    <t>--</t>
  </si>
  <si>
    <t>Google Ads Campaign report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</si>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</sst>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09]mmmm\ d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7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3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C7D48AA-009B-4C17-A5AA-DE1CF6B025E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kanya\Downloads\Sukanya\report\Campaign%20report%20-%20Aug.xlsx" TargetMode="External"/><Relationship Id="rId1" Type="http://schemas.openxmlformats.org/officeDocument/2006/relationships/externalLinkPath" Target="/Users/Sukanya/Downloads/Sukanya/report/Campaign%20report%20-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0"/>
    </sheetNames>
    <sheetDataSet>
      <sheetData sheetId="0" refreshError="1">
        <row r="4">
          <cell r="J4">
            <v>3798</v>
          </cell>
          <cell r="S4" t="str">
            <v>Maximize Conversions</v>
          </cell>
        </row>
        <row r="5">
          <cell r="S5" t="str">
            <v>Maximize Conversions</v>
          </cell>
        </row>
        <row r="6">
          <cell r="S6" t="str">
            <v>--</v>
          </cell>
        </row>
        <row r="7">
          <cell r="S7" t="str">
            <v/>
          </cell>
        </row>
        <row r="8">
          <cell r="S8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C168-9289-4F64-9CF7-0A65E2048CDD}">
  <dimension ref="A1:P11"/>
  <sheetViews>
    <sheetView tabSelected="1" workbookViewId="0">
      <selection activeCell="L13" sqref="L13"/>
    </sheetView>
  </sheetViews>
  <sheetFormatPr defaultRowHeight="14.4" x14ac:dyDescent="0.3"/>
  <cols>
    <col min="1" max="1" width="16.44140625" style="2" bestFit="1" customWidth="1"/>
    <col min="2" max="2" width="12.77734375" style="2" customWidth="1"/>
    <col min="3" max="3" width="10.21875" style="2" customWidth="1"/>
    <col min="4" max="4" width="13.21875" style="2" customWidth="1"/>
    <col min="5" max="5" width="19" style="2" bestFit="1" customWidth="1"/>
    <col min="6" max="6" width="15" style="2" bestFit="1" customWidth="1"/>
    <col min="7" max="9" width="10.21875" style="2" customWidth="1"/>
    <col min="10" max="10" width="11.6640625" style="2" customWidth="1"/>
    <col min="11" max="11" width="11.109375" style="2" customWidth="1"/>
    <col min="12" max="12" width="9.88671875" style="2" bestFit="1" customWidth="1"/>
    <col min="13" max="13" width="13.21875" style="2" customWidth="1"/>
    <col min="14" max="14" width="12.21875" style="2" customWidth="1"/>
    <col min="15" max="15" width="11.6640625" style="2" customWidth="1"/>
    <col min="16" max="16" width="20.6640625" style="2" bestFit="1" customWidth="1"/>
  </cols>
  <sheetData>
    <row r="1" spans="1:16" ht="33.6" customHeight="1" x14ac:dyDescent="0.3">
      <c r="A1" s="15" t="s">
        <v>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3.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33.6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33.6" customHeight="1" x14ac:dyDescent="0.3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27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</row>
    <row r="5" spans="1:16" ht="33.6" customHeight="1" x14ac:dyDescent="0.3">
      <c r="A5" s="10" t="s">
        <v>16</v>
      </c>
      <c r="B5" s="8" t="s">
        <v>17</v>
      </c>
      <c r="C5" s="9">
        <v>1200</v>
      </c>
      <c r="D5" s="9" t="s">
        <v>18</v>
      </c>
      <c r="E5" s="9">
        <v>100</v>
      </c>
      <c r="F5" s="9" t="s">
        <v>19</v>
      </c>
      <c r="G5" s="12">
        <v>3274</v>
      </c>
      <c r="H5" s="12">
        <v>51175</v>
      </c>
      <c r="I5" s="13">
        <v>6.4000000000000001E-2</v>
      </c>
      <c r="J5" s="9" t="s">
        <v>20</v>
      </c>
      <c r="K5" s="9">
        <v>9.0500000000000007</v>
      </c>
      <c r="L5" s="9">
        <v>29616.71</v>
      </c>
      <c r="M5" s="9">
        <v>294.95</v>
      </c>
      <c r="N5" s="9">
        <v>100.41</v>
      </c>
      <c r="O5" s="13">
        <v>9.01E-2</v>
      </c>
      <c r="P5" s="9" t="s">
        <v>21</v>
      </c>
    </row>
    <row r="6" spans="1:16" ht="33.6" customHeight="1" x14ac:dyDescent="0.3">
      <c r="A6" s="9" t="s">
        <v>16</v>
      </c>
      <c r="B6" s="8" t="s">
        <v>22</v>
      </c>
      <c r="C6" s="9">
        <v>400</v>
      </c>
      <c r="D6" s="9" t="s">
        <v>18</v>
      </c>
      <c r="E6" s="9">
        <v>100</v>
      </c>
      <c r="F6" s="9" t="s">
        <v>19</v>
      </c>
      <c r="G6" s="12">
        <v>1427</v>
      </c>
      <c r="H6" s="12">
        <v>12441</v>
      </c>
      <c r="I6" s="13">
        <v>0.1147</v>
      </c>
      <c r="J6" s="9" t="s">
        <v>20</v>
      </c>
      <c r="K6" s="9">
        <v>6.04</v>
      </c>
      <c r="L6" s="9">
        <v>8625.73</v>
      </c>
      <c r="M6" s="9">
        <v>170</v>
      </c>
      <c r="N6" s="9">
        <v>50.74</v>
      </c>
      <c r="O6" s="13">
        <v>0.1191</v>
      </c>
      <c r="P6" s="9" t="s">
        <v>21</v>
      </c>
    </row>
    <row r="7" spans="1:16" ht="33.6" customHeight="1" x14ac:dyDescent="0.3">
      <c r="A7" s="9" t="s">
        <v>23</v>
      </c>
      <c r="B7" s="9" t="s">
        <v>24</v>
      </c>
      <c r="C7" s="9" t="s">
        <v>24</v>
      </c>
      <c r="D7" s="9" t="s">
        <v>24</v>
      </c>
      <c r="E7" s="9" t="s">
        <v>24</v>
      </c>
      <c r="F7" s="9" t="s">
        <v>24</v>
      </c>
      <c r="G7" s="12">
        <v>4701</v>
      </c>
      <c r="H7" s="12">
        <v>63616</v>
      </c>
      <c r="I7" s="13">
        <v>7.3899999999999993E-2</v>
      </c>
      <c r="J7" s="9" t="s">
        <v>20</v>
      </c>
      <c r="K7" s="9">
        <v>8.1300000000000008</v>
      </c>
      <c r="L7" s="9">
        <v>38242.44</v>
      </c>
      <c r="M7" s="9">
        <v>464.95</v>
      </c>
      <c r="N7" s="9">
        <v>82.25</v>
      </c>
      <c r="O7" s="13">
        <v>9.8900000000000002E-2</v>
      </c>
      <c r="P7" s="9" t="s">
        <v>24</v>
      </c>
    </row>
    <row r="8" spans="1:16" ht="33.6" customHeight="1" x14ac:dyDescent="0.3">
      <c r="A8" s="9" t="s">
        <v>25</v>
      </c>
      <c r="B8" s="3"/>
      <c r="C8" s="3"/>
      <c r="D8" s="3"/>
      <c r="E8" s="3"/>
      <c r="F8" s="9"/>
      <c r="G8" s="12">
        <v>4701</v>
      </c>
      <c r="H8" s="12">
        <v>63616</v>
      </c>
      <c r="I8" s="13">
        <v>7.3899999999999993E-2</v>
      </c>
      <c r="J8" s="9" t="s">
        <v>20</v>
      </c>
      <c r="K8" s="9">
        <v>8.1300000000000008</v>
      </c>
      <c r="L8" s="9">
        <v>38242.44</v>
      </c>
      <c r="M8" s="9">
        <v>464.95</v>
      </c>
      <c r="N8" s="9">
        <v>82.25</v>
      </c>
      <c r="O8" s="13">
        <v>9.8900000000000002E-2</v>
      </c>
      <c r="P8" s="3"/>
    </row>
    <row r="9" spans="1:16" ht="33.6" customHeight="1" x14ac:dyDescent="0.3">
      <c r="A9" s="9" t="s">
        <v>26</v>
      </c>
      <c r="B9" s="3"/>
      <c r="C9" s="3"/>
      <c r="D9" s="3"/>
      <c r="E9" s="3"/>
      <c r="F9" s="9" t="s">
        <v>19</v>
      </c>
      <c r="G9" s="12">
        <v>4701</v>
      </c>
      <c r="H9" s="12">
        <v>63616</v>
      </c>
      <c r="I9" s="13">
        <v>7.3899999999999993E-2</v>
      </c>
      <c r="J9" s="9" t="s">
        <v>20</v>
      </c>
      <c r="K9" s="9">
        <v>8.1300000000000008</v>
      </c>
      <c r="L9" s="9">
        <v>38242.44</v>
      </c>
      <c r="M9" s="9">
        <v>464.95</v>
      </c>
      <c r="N9" s="9">
        <v>82.25</v>
      </c>
      <c r="O9" s="13">
        <v>9.8900000000000002E-2</v>
      </c>
      <c r="P9" s="3"/>
    </row>
    <row r="10" spans="1:1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2">
    <mergeCell ref="A1:P1"/>
    <mergeCell ref="A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A262-F9AD-4F8F-99D5-CD4E59A98DE6}">
  <dimension ref="A1:R11"/>
  <sheetViews>
    <sheetView workbookViewId="0">
      <selection activeCell="C13" sqref="C13"/>
    </sheetView>
  </sheetViews>
  <sheetFormatPr defaultRowHeight="14.4" x14ac:dyDescent="0.3"/>
  <cols>
    <col min="1" max="1" width="16.44140625" style="2" bestFit="1" customWidth="1"/>
    <col min="2" max="2" width="12.88671875" style="2" customWidth="1"/>
    <col min="3" max="3" width="10.21875" style="2" customWidth="1"/>
    <col min="4" max="4" width="13.21875" style="2" customWidth="1"/>
    <col min="5" max="5" width="18.21875" style="2" customWidth="1"/>
    <col min="6" max="6" width="15" style="2" bestFit="1" customWidth="1"/>
    <col min="7" max="9" width="10.21875" style="2" customWidth="1"/>
    <col min="10" max="10" width="12.21875" style="2" customWidth="1"/>
    <col min="11" max="11" width="11.109375" style="2" customWidth="1"/>
    <col min="12" max="12" width="9.88671875" style="2" bestFit="1" customWidth="1"/>
    <col min="13" max="13" width="13.21875" style="2" customWidth="1"/>
    <col min="14" max="14" width="11.88671875" style="2" customWidth="1"/>
    <col min="15" max="15" width="11.5546875" style="2" customWidth="1"/>
    <col min="16" max="16" width="20.6640625" style="2" bestFit="1" customWidth="1"/>
    <col min="17" max="17" width="8.88671875" style="2"/>
  </cols>
  <sheetData>
    <row r="1" spans="1:18" ht="33.6" customHeight="1" x14ac:dyDescent="0.3">
      <c r="A1" s="16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3"/>
      <c r="R1" s="1"/>
    </row>
    <row r="2" spans="1:18" ht="33.6" customHeight="1" x14ac:dyDescent="0.3">
      <c r="A2" s="16" t="s">
        <v>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3"/>
      <c r="R2" s="1"/>
    </row>
    <row r="3" spans="1:18" ht="33.6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1"/>
    </row>
    <row r="4" spans="1:18" ht="33.6" customHeight="1" x14ac:dyDescent="0.3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27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3"/>
      <c r="R4" s="1"/>
    </row>
    <row r="5" spans="1:18" ht="33.6" customHeight="1" x14ac:dyDescent="0.3">
      <c r="A5" s="9" t="s">
        <v>16</v>
      </c>
      <c r="B5" s="8" t="s">
        <v>17</v>
      </c>
      <c r="C5" s="9">
        <v>1600</v>
      </c>
      <c r="D5" s="9" t="s">
        <v>18</v>
      </c>
      <c r="E5" s="9">
        <v>100</v>
      </c>
      <c r="F5" s="9" t="s">
        <v>19</v>
      </c>
      <c r="G5" s="9">
        <v>3798</v>
      </c>
      <c r="H5" s="9">
        <v>61717</v>
      </c>
      <c r="I5" s="13">
        <v>6.1499999999999999E-2</v>
      </c>
      <c r="J5" s="9" t="s">
        <v>20</v>
      </c>
      <c r="K5" s="9">
        <v>7.99</v>
      </c>
      <c r="L5" s="9">
        <v>30335.69</v>
      </c>
      <c r="M5" s="9">
        <v>366.86</v>
      </c>
      <c r="N5" s="9">
        <v>82.69</v>
      </c>
      <c r="O5" s="13">
        <v>9.6600000000000005E-2</v>
      </c>
      <c r="P5" s="9" t="str">
        <f>[1]Sheet0!S4</f>
        <v>Maximize Conversions</v>
      </c>
      <c r="Q5" s="3"/>
      <c r="R5" s="1"/>
    </row>
    <row r="6" spans="1:18" ht="33.6" customHeight="1" x14ac:dyDescent="0.3">
      <c r="A6" s="9" t="s">
        <v>16</v>
      </c>
      <c r="B6" s="8" t="s">
        <v>22</v>
      </c>
      <c r="C6" s="9">
        <v>400</v>
      </c>
      <c r="D6" s="9" t="s">
        <v>18</v>
      </c>
      <c r="E6" s="9">
        <v>100</v>
      </c>
      <c r="F6" s="9" t="s">
        <v>19</v>
      </c>
      <c r="G6" s="9">
        <v>1480</v>
      </c>
      <c r="H6" s="9">
        <v>13151</v>
      </c>
      <c r="I6" s="13">
        <v>0.1125</v>
      </c>
      <c r="J6" s="9" t="s">
        <v>20</v>
      </c>
      <c r="K6" s="9">
        <v>5.12</v>
      </c>
      <c r="L6" s="9">
        <v>7574.44</v>
      </c>
      <c r="M6" s="9">
        <v>194.67</v>
      </c>
      <c r="N6" s="9">
        <v>38.909999999999997</v>
      </c>
      <c r="O6" s="13">
        <v>0.13150000000000001</v>
      </c>
      <c r="P6" s="9" t="str">
        <f>[1]Sheet0!S5</f>
        <v>Maximize Conversions</v>
      </c>
      <c r="Q6" s="3"/>
      <c r="R6" s="1"/>
    </row>
    <row r="7" spans="1:18" ht="33.6" customHeight="1" x14ac:dyDescent="0.3">
      <c r="A7" s="9" t="s">
        <v>23</v>
      </c>
      <c r="B7" s="9" t="s">
        <v>24</v>
      </c>
      <c r="C7" s="9" t="s">
        <v>24</v>
      </c>
      <c r="D7" s="9" t="s">
        <v>24</v>
      </c>
      <c r="E7" s="9" t="s">
        <v>24</v>
      </c>
      <c r="F7" s="9" t="s">
        <v>24</v>
      </c>
      <c r="G7" s="9">
        <v>5278</v>
      </c>
      <c r="H7" s="9">
        <v>74868</v>
      </c>
      <c r="I7" s="13">
        <v>7.0499999999999993E-2</v>
      </c>
      <c r="J7" s="9" t="s">
        <v>20</v>
      </c>
      <c r="K7" s="9">
        <v>7.18</v>
      </c>
      <c r="L7" s="9">
        <v>37910.14</v>
      </c>
      <c r="M7" s="9">
        <v>561.53</v>
      </c>
      <c r="N7" s="9">
        <v>67.510000000000005</v>
      </c>
      <c r="O7" s="13">
        <v>0.10639999999999999</v>
      </c>
      <c r="P7" s="9" t="str">
        <f>[1]Sheet0!S6</f>
        <v>--</v>
      </c>
      <c r="Q7" s="3"/>
      <c r="R7" s="1"/>
    </row>
    <row r="8" spans="1:18" ht="33.6" customHeight="1" x14ac:dyDescent="0.3">
      <c r="A8" s="9" t="s">
        <v>25</v>
      </c>
      <c r="B8" s="3"/>
      <c r="C8" s="3"/>
      <c r="D8" s="3"/>
      <c r="E8" s="3"/>
      <c r="F8" s="9"/>
      <c r="G8" s="9">
        <v>5278</v>
      </c>
      <c r="H8" s="9">
        <v>74868</v>
      </c>
      <c r="I8" s="13">
        <v>7.0499999999999993E-2</v>
      </c>
      <c r="J8" s="9" t="s">
        <v>20</v>
      </c>
      <c r="K8" s="9">
        <v>7.18</v>
      </c>
      <c r="L8" s="9">
        <v>37910.14</v>
      </c>
      <c r="M8" s="9">
        <v>561.53</v>
      </c>
      <c r="N8" s="9">
        <v>67.510000000000005</v>
      </c>
      <c r="O8" s="13">
        <v>0.10639999999999999</v>
      </c>
      <c r="P8" s="3" t="str">
        <f>[1]Sheet0!S7</f>
        <v/>
      </c>
      <c r="Q8" s="3"/>
      <c r="R8" s="1"/>
    </row>
    <row r="9" spans="1:18" ht="33.6" customHeight="1" x14ac:dyDescent="0.3">
      <c r="A9" s="9" t="s">
        <v>26</v>
      </c>
      <c r="B9" s="3"/>
      <c r="C9" s="3"/>
      <c r="D9" s="3"/>
      <c r="E9" s="3"/>
      <c r="F9" s="9" t="s">
        <v>19</v>
      </c>
      <c r="G9" s="9">
        <v>5278</v>
      </c>
      <c r="H9" s="9">
        <v>74868</v>
      </c>
      <c r="I9" s="13">
        <v>7.0499999999999993E-2</v>
      </c>
      <c r="J9" s="9" t="s">
        <v>20</v>
      </c>
      <c r="K9" s="9">
        <v>7.18</v>
      </c>
      <c r="L9" s="9">
        <v>37910.14</v>
      </c>
      <c r="M9" s="9">
        <v>561.53</v>
      </c>
      <c r="N9" s="9">
        <v>67.510000000000005</v>
      </c>
      <c r="O9" s="13">
        <v>0.10639999999999999</v>
      </c>
      <c r="P9" s="3" t="str">
        <f>[1]Sheet0!S8</f>
        <v/>
      </c>
      <c r="Q9" s="3"/>
      <c r="R9" s="1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"/>
    </row>
  </sheetData>
  <mergeCells count="2">
    <mergeCell ref="A1:P1"/>
    <mergeCell ref="A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3669-5C54-4AB1-B330-5BCCB4224CB4}">
  <dimension ref="A1:R11"/>
  <sheetViews>
    <sheetView workbookViewId="0">
      <selection activeCell="E13" sqref="E13"/>
    </sheetView>
  </sheetViews>
  <sheetFormatPr defaultRowHeight="14.4" x14ac:dyDescent="0.3"/>
  <cols>
    <col min="1" max="1" width="16.44140625" style="2" bestFit="1" customWidth="1"/>
    <col min="2" max="2" width="12.6640625" style="2" customWidth="1"/>
    <col min="3" max="3" width="10.21875" style="2" customWidth="1"/>
    <col min="4" max="4" width="13.21875" style="2" customWidth="1"/>
    <col min="5" max="5" width="18.77734375" style="2" customWidth="1"/>
    <col min="6" max="6" width="15" style="2" bestFit="1" customWidth="1"/>
    <col min="7" max="9" width="10.21875" style="2" customWidth="1"/>
    <col min="10" max="10" width="12.21875" style="2" customWidth="1"/>
    <col min="11" max="11" width="11.109375" style="2" customWidth="1"/>
    <col min="12" max="12" width="9.88671875" style="2" bestFit="1" customWidth="1"/>
    <col min="13" max="13" width="13.21875" style="2" customWidth="1"/>
    <col min="14" max="14" width="11.88671875" style="2" customWidth="1"/>
    <col min="15" max="15" width="11.5546875" style="2" customWidth="1"/>
    <col min="16" max="16" width="20.6640625" style="2" bestFit="1" customWidth="1"/>
    <col min="17" max="17" width="8.88671875" style="2"/>
  </cols>
  <sheetData>
    <row r="1" spans="1:18" ht="33.6" customHeight="1" x14ac:dyDescent="0.3">
      <c r="A1" s="16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3"/>
      <c r="R1" s="1"/>
    </row>
    <row r="2" spans="1:18" ht="33.6" customHeight="1" x14ac:dyDescent="0.3">
      <c r="A2" s="16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3"/>
      <c r="R2" s="1"/>
    </row>
    <row r="3" spans="1:18" ht="33.6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1"/>
    </row>
    <row r="4" spans="1:18" ht="33.6" customHeight="1" x14ac:dyDescent="0.3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27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3"/>
      <c r="R4" s="1"/>
    </row>
    <row r="5" spans="1:18" ht="33.6" customHeight="1" x14ac:dyDescent="0.3">
      <c r="A5" s="9" t="s">
        <v>16</v>
      </c>
      <c r="B5" s="8" t="s">
        <v>17</v>
      </c>
      <c r="C5" s="9">
        <v>1600</v>
      </c>
      <c r="D5" s="9" t="s">
        <v>18</v>
      </c>
      <c r="E5" s="9">
        <v>100</v>
      </c>
      <c r="F5" s="9" t="s">
        <v>19</v>
      </c>
      <c r="G5" s="12">
        <v>4783</v>
      </c>
      <c r="H5" s="12">
        <v>63373</v>
      </c>
      <c r="I5" s="13">
        <v>7.5499999999999998E-2</v>
      </c>
      <c r="J5" s="9" t="s">
        <v>20</v>
      </c>
      <c r="K5" s="9">
        <v>7.69</v>
      </c>
      <c r="L5" s="9">
        <v>36802.480000000003</v>
      </c>
      <c r="M5" s="9">
        <v>451.42</v>
      </c>
      <c r="N5" s="9">
        <v>81.53</v>
      </c>
      <c r="O5" s="13">
        <v>9.4399999999999998E-2</v>
      </c>
      <c r="P5" s="9" t="s">
        <v>21</v>
      </c>
      <c r="Q5" s="3"/>
      <c r="R5" s="1"/>
    </row>
    <row r="6" spans="1:18" ht="33.6" customHeight="1" x14ac:dyDescent="0.3">
      <c r="A6" s="9" t="s">
        <v>16</v>
      </c>
      <c r="B6" s="8" t="s">
        <v>22</v>
      </c>
      <c r="C6" s="9">
        <v>400</v>
      </c>
      <c r="D6" s="9" t="s">
        <v>18</v>
      </c>
      <c r="E6" s="9">
        <v>100</v>
      </c>
      <c r="F6" s="9" t="s">
        <v>19</v>
      </c>
      <c r="G6" s="12">
        <v>1512</v>
      </c>
      <c r="H6" s="12">
        <v>15511</v>
      </c>
      <c r="I6" s="13">
        <v>9.7500000000000003E-2</v>
      </c>
      <c r="J6" s="9" t="s">
        <v>20</v>
      </c>
      <c r="K6" s="9">
        <v>5.98</v>
      </c>
      <c r="L6" s="9">
        <v>9035.7800000000007</v>
      </c>
      <c r="M6" s="9">
        <v>220.5</v>
      </c>
      <c r="N6" s="9">
        <v>40.98</v>
      </c>
      <c r="O6" s="13">
        <v>0.14580000000000001</v>
      </c>
      <c r="P6" s="9" t="s">
        <v>21</v>
      </c>
      <c r="Q6" s="3"/>
      <c r="R6" s="1"/>
    </row>
    <row r="7" spans="1:18" ht="33.6" customHeight="1" x14ac:dyDescent="0.3">
      <c r="A7" s="9" t="s">
        <v>23</v>
      </c>
      <c r="B7" s="9" t="s">
        <v>24</v>
      </c>
      <c r="C7" s="9" t="s">
        <v>24</v>
      </c>
      <c r="D7" s="9" t="s">
        <v>24</v>
      </c>
      <c r="E7" s="9" t="s">
        <v>24</v>
      </c>
      <c r="F7" s="9" t="s">
        <v>24</v>
      </c>
      <c r="G7" s="12">
        <v>6295</v>
      </c>
      <c r="H7" s="12">
        <v>78884</v>
      </c>
      <c r="I7" s="13">
        <v>7.9799999999999996E-2</v>
      </c>
      <c r="J7" s="9" t="s">
        <v>20</v>
      </c>
      <c r="K7" s="9">
        <v>7.28</v>
      </c>
      <c r="L7" s="9">
        <v>45838.26</v>
      </c>
      <c r="M7" s="9">
        <v>671.92</v>
      </c>
      <c r="N7" s="9">
        <v>68.22</v>
      </c>
      <c r="O7" s="13">
        <v>0.1067</v>
      </c>
      <c r="P7" s="9" t="s">
        <v>31</v>
      </c>
      <c r="Q7" s="3"/>
      <c r="R7" s="1"/>
    </row>
    <row r="8" spans="1:18" ht="33.6" customHeight="1" x14ac:dyDescent="0.3">
      <c r="A8" s="9" t="s">
        <v>25</v>
      </c>
      <c r="B8" s="3"/>
      <c r="C8" s="3"/>
      <c r="D8" s="3"/>
      <c r="E8" s="3"/>
      <c r="F8" s="9"/>
      <c r="G8" s="12">
        <v>6295</v>
      </c>
      <c r="H8" s="12">
        <v>78884</v>
      </c>
      <c r="I8" s="13">
        <v>7.9799999999999996E-2</v>
      </c>
      <c r="J8" s="9" t="s">
        <v>20</v>
      </c>
      <c r="K8" s="9">
        <v>7.28</v>
      </c>
      <c r="L8" s="9">
        <v>45838.26</v>
      </c>
      <c r="M8" s="9">
        <v>671.92</v>
      </c>
      <c r="N8" s="9">
        <v>68.22</v>
      </c>
      <c r="O8" s="13">
        <v>0.1067</v>
      </c>
      <c r="P8" s="3"/>
      <c r="Q8" s="3"/>
      <c r="R8" s="1"/>
    </row>
    <row r="9" spans="1:18" ht="33.6" customHeight="1" x14ac:dyDescent="0.3">
      <c r="A9" s="9" t="s">
        <v>26</v>
      </c>
      <c r="B9" s="3"/>
      <c r="C9" s="3"/>
      <c r="D9" s="3"/>
      <c r="E9" s="3"/>
      <c r="F9" s="9" t="s">
        <v>19</v>
      </c>
      <c r="G9" s="12">
        <v>6295</v>
      </c>
      <c r="H9" s="12">
        <v>78884</v>
      </c>
      <c r="I9" s="13">
        <v>7.9799999999999996E-2</v>
      </c>
      <c r="J9" s="9" t="s">
        <v>20</v>
      </c>
      <c r="K9" s="9">
        <v>7.28</v>
      </c>
      <c r="L9" s="9">
        <v>45838.26</v>
      </c>
      <c r="M9" s="9">
        <v>671.92</v>
      </c>
      <c r="N9" s="9">
        <v>68.22</v>
      </c>
      <c r="O9" s="13">
        <v>0.1067</v>
      </c>
      <c r="P9" s="3"/>
      <c r="Q9" s="3"/>
      <c r="R9" s="1"/>
    </row>
    <row r="10" spans="1:18" ht="33.6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"/>
    </row>
  </sheetData>
  <mergeCells count="2">
    <mergeCell ref="A1:P1"/>
    <mergeCell ref="A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CF5A-57B8-4C8B-A5FD-AC8876D41914}">
  <dimension ref="A1:R11"/>
  <sheetViews>
    <sheetView workbookViewId="0">
      <selection activeCell="K12" sqref="K12"/>
    </sheetView>
  </sheetViews>
  <sheetFormatPr defaultRowHeight="14.4" x14ac:dyDescent="0.3"/>
  <cols>
    <col min="1" max="1" width="16.44140625" style="2" bestFit="1" customWidth="1"/>
    <col min="2" max="2" width="12.88671875" style="2" customWidth="1"/>
    <col min="3" max="3" width="10.21875" style="2" customWidth="1"/>
    <col min="4" max="4" width="13.21875" style="2" customWidth="1"/>
    <col min="5" max="5" width="18.21875" style="2" customWidth="1"/>
    <col min="6" max="6" width="15" style="2" bestFit="1" customWidth="1"/>
    <col min="7" max="9" width="10.21875" style="2" customWidth="1"/>
    <col min="10" max="10" width="12.21875" style="2" customWidth="1"/>
    <col min="11" max="11" width="11.109375" style="2" customWidth="1"/>
    <col min="12" max="12" width="9.88671875" style="2" bestFit="1" customWidth="1"/>
    <col min="13" max="13" width="13.21875" style="2" customWidth="1"/>
    <col min="14" max="14" width="11.88671875" style="2" customWidth="1"/>
    <col min="15" max="15" width="11.5546875" style="2" customWidth="1"/>
    <col min="16" max="16" width="20.6640625" style="2" bestFit="1" customWidth="1"/>
    <col min="17" max="17" width="8.88671875" style="2"/>
  </cols>
  <sheetData>
    <row r="1" spans="1:18" ht="33.6" customHeight="1" x14ac:dyDescent="0.3">
      <c r="A1" s="16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3"/>
      <c r="R1" s="1"/>
    </row>
    <row r="2" spans="1:18" ht="33.6" customHeight="1" x14ac:dyDescent="0.3">
      <c r="A2" s="16" t="s">
        <v>30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3"/>
      <c r="R2" s="1"/>
    </row>
    <row r="3" spans="1:18" ht="33.6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1"/>
    </row>
    <row r="4" spans="1:18" ht="33.6" customHeight="1" x14ac:dyDescent="0.3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27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3"/>
      <c r="R4" s="1"/>
    </row>
    <row r="5" spans="1:18" ht="33.6" customHeight="1" x14ac:dyDescent="0.3">
      <c r="A5" s="9" t="s">
        <v>16</v>
      </c>
      <c r="B5" s="8" t="s">
        <v>17</v>
      </c>
      <c r="C5" s="9">
        <v>1600</v>
      </c>
      <c r="D5" s="9" t="s">
        <v>18</v>
      </c>
      <c r="E5" s="9">
        <v>100</v>
      </c>
      <c r="F5" s="9" t="s">
        <v>19</v>
      </c>
      <c r="G5" s="12">
        <v>3977</v>
      </c>
      <c r="H5" s="12">
        <v>47048</v>
      </c>
      <c r="I5" s="13">
        <v>8.4500000000000006E-2</v>
      </c>
      <c r="J5" s="9" t="s">
        <v>20</v>
      </c>
      <c r="K5" s="9">
        <v>8.4499999999999993</v>
      </c>
      <c r="L5" s="9">
        <v>33614.379999999997</v>
      </c>
      <c r="M5" s="9">
        <v>381.22</v>
      </c>
      <c r="N5" s="9">
        <v>88.18</v>
      </c>
      <c r="O5" s="13">
        <v>9.5899999999999999E-2</v>
      </c>
      <c r="P5" s="9" t="s">
        <v>21</v>
      </c>
      <c r="Q5" s="3"/>
      <c r="R5" s="1"/>
    </row>
    <row r="6" spans="1:18" ht="33.6" customHeight="1" x14ac:dyDescent="0.3">
      <c r="A6" s="9" t="s">
        <v>16</v>
      </c>
      <c r="B6" s="8" t="s">
        <v>22</v>
      </c>
      <c r="C6" s="9">
        <v>400</v>
      </c>
      <c r="D6" s="9" t="s">
        <v>18</v>
      </c>
      <c r="E6" s="9">
        <v>100</v>
      </c>
      <c r="F6" s="9" t="s">
        <v>19</v>
      </c>
      <c r="G6" s="12">
        <v>1036</v>
      </c>
      <c r="H6" s="12">
        <v>12503</v>
      </c>
      <c r="I6" s="13">
        <v>8.2900000000000001E-2</v>
      </c>
      <c r="J6" s="9" t="s">
        <v>20</v>
      </c>
      <c r="K6" s="9">
        <v>8.11</v>
      </c>
      <c r="L6" s="9">
        <v>8399.81</v>
      </c>
      <c r="M6" s="9">
        <v>165.5</v>
      </c>
      <c r="N6" s="9">
        <v>50.75</v>
      </c>
      <c r="O6" s="13">
        <v>0.15970000000000001</v>
      </c>
      <c r="P6" s="9" t="s">
        <v>21</v>
      </c>
      <c r="Q6" s="3"/>
      <c r="R6" s="1"/>
    </row>
    <row r="7" spans="1:18" ht="33.6" customHeight="1" x14ac:dyDescent="0.3">
      <c r="A7" s="9" t="s">
        <v>23</v>
      </c>
      <c r="B7" s="9" t="s">
        <v>24</v>
      </c>
      <c r="C7" s="9" t="s">
        <v>24</v>
      </c>
      <c r="D7" s="9" t="s">
        <v>24</v>
      </c>
      <c r="E7" s="9" t="s">
        <v>24</v>
      </c>
      <c r="F7" s="9" t="s">
        <v>24</v>
      </c>
      <c r="G7" s="12">
        <v>5013</v>
      </c>
      <c r="H7" s="12">
        <v>59551</v>
      </c>
      <c r="I7" s="13">
        <v>8.4199999999999997E-2</v>
      </c>
      <c r="J7" s="9" t="s">
        <v>20</v>
      </c>
      <c r="K7" s="9">
        <v>8.3800000000000008</v>
      </c>
      <c r="L7" s="9">
        <v>42014.2</v>
      </c>
      <c r="M7" s="9">
        <v>546.72</v>
      </c>
      <c r="N7" s="9">
        <v>76.849999999999994</v>
      </c>
      <c r="O7" s="13">
        <v>0.1091</v>
      </c>
      <c r="P7" s="9" t="s">
        <v>24</v>
      </c>
      <c r="Q7" s="3"/>
      <c r="R7" s="1"/>
    </row>
    <row r="8" spans="1:18" ht="33.6" customHeight="1" x14ac:dyDescent="0.3">
      <c r="A8" s="9" t="s">
        <v>25</v>
      </c>
      <c r="B8" s="3"/>
      <c r="C8" s="3"/>
      <c r="D8" s="3"/>
      <c r="E8" s="3"/>
      <c r="F8" s="9"/>
      <c r="G8" s="12">
        <v>5013</v>
      </c>
      <c r="H8" s="12">
        <v>59551</v>
      </c>
      <c r="I8" s="13">
        <v>8.4199999999999997E-2</v>
      </c>
      <c r="J8" s="9" t="s">
        <v>20</v>
      </c>
      <c r="K8" s="9">
        <v>8.3800000000000008</v>
      </c>
      <c r="L8" s="9">
        <v>42014.2</v>
      </c>
      <c r="M8" s="9">
        <v>546.72</v>
      </c>
      <c r="N8" s="9">
        <v>76.849999999999994</v>
      </c>
      <c r="O8" s="13">
        <v>0.1091</v>
      </c>
      <c r="P8" s="3"/>
      <c r="Q8" s="3"/>
      <c r="R8" s="1"/>
    </row>
    <row r="9" spans="1:18" ht="33.6" customHeight="1" x14ac:dyDescent="0.3">
      <c r="A9" s="9" t="s">
        <v>26</v>
      </c>
      <c r="B9" s="3"/>
      <c r="C9" s="3"/>
      <c r="D9" s="3"/>
      <c r="E9" s="3"/>
      <c r="F9" s="9" t="s">
        <v>19</v>
      </c>
      <c r="G9" s="12">
        <v>5013</v>
      </c>
      <c r="H9" s="12">
        <v>59551</v>
      </c>
      <c r="I9" s="13">
        <v>8.4199999999999997E-2</v>
      </c>
      <c r="J9" s="9" t="s">
        <v>20</v>
      </c>
      <c r="K9" s="9">
        <v>8.3800000000000008</v>
      </c>
      <c r="L9" s="9">
        <v>42014.2</v>
      </c>
      <c r="M9" s="9">
        <v>546.72</v>
      </c>
      <c r="N9" s="9">
        <v>76.849999999999994</v>
      </c>
      <c r="O9" s="13">
        <v>0.1091</v>
      </c>
      <c r="P9" s="3"/>
      <c r="Q9" s="3"/>
      <c r="R9" s="1"/>
    </row>
    <row r="10" spans="1:18" ht="33.6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"/>
    </row>
  </sheetData>
  <mergeCells count="2">
    <mergeCell ref="A1:P1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3C36-159D-4494-AF99-7F7640C75A1B}">
  <dimension ref="A1:Q14"/>
  <sheetViews>
    <sheetView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8.5546875" bestFit="1" customWidth="1"/>
    <col min="2" max="2" width="18.44140625" style="2" customWidth="1"/>
    <col min="3" max="3" width="14.6640625" style="2" customWidth="1"/>
    <col min="4" max="4" width="10.21875" style="2" customWidth="1"/>
    <col min="5" max="5" width="18" style="2" customWidth="1"/>
    <col min="6" max="6" width="14.33203125" style="2" customWidth="1"/>
    <col min="7" max="7" width="15" style="2" bestFit="1" customWidth="1"/>
    <col min="8" max="8" width="12.44140625" style="2" customWidth="1"/>
    <col min="9" max="9" width="13.44140625" style="2" customWidth="1"/>
    <col min="10" max="10" width="13.5546875" style="2" customWidth="1"/>
    <col min="11" max="11" width="14.5546875" style="2" customWidth="1"/>
    <col min="12" max="12" width="16.109375" style="2" customWidth="1"/>
    <col min="13" max="13" width="13.6640625" style="2" customWidth="1"/>
    <col min="14" max="14" width="14.5546875" style="2" customWidth="1"/>
    <col min="15" max="16" width="8.88671875" style="2" customWidth="1"/>
    <col min="17" max="17" width="8.88671875" style="2"/>
  </cols>
  <sheetData>
    <row r="1" spans="1:17" ht="32.4" customHeight="1" x14ac:dyDescent="0.3">
      <c r="A1" s="7" t="s">
        <v>33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27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3"/>
      <c r="P1" s="1"/>
      <c r="Q1"/>
    </row>
    <row r="2" spans="1:17" ht="32.4" customHeight="1" x14ac:dyDescent="0.3">
      <c r="A2" s="14">
        <v>45930</v>
      </c>
      <c r="B2" s="9" t="s">
        <v>16</v>
      </c>
      <c r="C2" s="9" t="s">
        <v>17</v>
      </c>
      <c r="D2" s="9">
        <v>1200</v>
      </c>
      <c r="E2" s="9" t="s">
        <v>19</v>
      </c>
      <c r="F2" s="12">
        <v>3274</v>
      </c>
      <c r="G2" s="12">
        <v>51175</v>
      </c>
      <c r="H2" s="13">
        <v>6.4000000000000001E-2</v>
      </c>
      <c r="I2" s="9" t="s">
        <v>20</v>
      </c>
      <c r="J2" s="9">
        <v>9.0500000000000007</v>
      </c>
      <c r="K2" s="9">
        <v>29616.71</v>
      </c>
      <c r="L2" s="9">
        <v>294.95</v>
      </c>
      <c r="M2" s="9">
        <v>100.41</v>
      </c>
      <c r="N2" s="13">
        <v>9.01E-2</v>
      </c>
      <c r="O2" s="3"/>
      <c r="P2" s="1"/>
      <c r="Q2"/>
    </row>
    <row r="3" spans="1:17" ht="32.4" customHeight="1" x14ac:dyDescent="0.3">
      <c r="A3" s="14">
        <v>45930</v>
      </c>
      <c r="B3" s="9" t="s">
        <v>16</v>
      </c>
      <c r="C3" s="9" t="s">
        <v>22</v>
      </c>
      <c r="D3" s="9">
        <v>400</v>
      </c>
      <c r="E3" s="9" t="s">
        <v>19</v>
      </c>
      <c r="F3" s="12">
        <v>1427</v>
      </c>
      <c r="G3" s="12">
        <v>12441</v>
      </c>
      <c r="H3" s="13">
        <v>0.1147</v>
      </c>
      <c r="I3" s="9" t="s">
        <v>20</v>
      </c>
      <c r="J3" s="9">
        <v>6.04</v>
      </c>
      <c r="K3" s="9">
        <v>8625.73</v>
      </c>
      <c r="L3" s="9">
        <v>170</v>
      </c>
      <c r="M3" s="9">
        <v>50.74</v>
      </c>
      <c r="N3" s="13">
        <v>0.1191</v>
      </c>
      <c r="O3" s="3"/>
      <c r="P3" s="1"/>
      <c r="Q3"/>
    </row>
    <row r="4" spans="1:17" ht="32.4" customHeight="1" x14ac:dyDescent="0.3">
      <c r="A4" s="14">
        <v>45900</v>
      </c>
      <c r="B4" s="9" t="s">
        <v>16</v>
      </c>
      <c r="C4" s="9" t="s">
        <v>17</v>
      </c>
      <c r="D4" s="9">
        <v>1600</v>
      </c>
      <c r="E4" s="9" t="s">
        <v>19</v>
      </c>
      <c r="F4" s="9">
        <v>3798</v>
      </c>
      <c r="G4" s="9">
        <v>61717</v>
      </c>
      <c r="H4" s="13">
        <v>6.1499999999999999E-2</v>
      </c>
      <c r="I4" s="9" t="s">
        <v>20</v>
      </c>
      <c r="J4" s="9">
        <v>7.99</v>
      </c>
      <c r="K4" s="9">
        <v>30335.69</v>
      </c>
      <c r="L4" s="9">
        <v>366.86</v>
      </c>
      <c r="M4" s="9">
        <v>82.69</v>
      </c>
      <c r="N4" s="13">
        <v>9.6600000000000005E-2</v>
      </c>
      <c r="O4" s="3"/>
      <c r="P4" s="1"/>
      <c r="Q4"/>
    </row>
    <row r="5" spans="1:17" ht="32.4" customHeight="1" x14ac:dyDescent="0.3">
      <c r="A5" s="14">
        <v>45900</v>
      </c>
      <c r="B5" s="9" t="s">
        <v>16</v>
      </c>
      <c r="C5" s="9" t="s">
        <v>22</v>
      </c>
      <c r="D5" s="9">
        <v>400</v>
      </c>
      <c r="E5" s="9" t="s">
        <v>19</v>
      </c>
      <c r="F5" s="9">
        <v>1480</v>
      </c>
      <c r="G5" s="9">
        <v>13151</v>
      </c>
      <c r="H5" s="13">
        <v>0.1125</v>
      </c>
      <c r="I5" s="9" t="s">
        <v>20</v>
      </c>
      <c r="J5" s="9">
        <v>5.12</v>
      </c>
      <c r="K5" s="9">
        <v>7574.44</v>
      </c>
      <c r="L5" s="9">
        <v>194.67</v>
      </c>
      <c r="M5" s="9">
        <v>38.909999999999997</v>
      </c>
      <c r="N5" s="13">
        <v>0.13150000000000001</v>
      </c>
      <c r="O5" s="3"/>
      <c r="P5" s="1"/>
      <c r="Q5"/>
    </row>
    <row r="6" spans="1:17" ht="32.4" customHeight="1" x14ac:dyDescent="0.3">
      <c r="A6" s="14">
        <v>45869</v>
      </c>
      <c r="B6" s="9" t="s">
        <v>16</v>
      </c>
      <c r="C6" s="9" t="s">
        <v>17</v>
      </c>
      <c r="D6" s="9">
        <v>1600</v>
      </c>
      <c r="E6" s="9" t="s">
        <v>19</v>
      </c>
      <c r="F6" s="12">
        <v>4783</v>
      </c>
      <c r="G6" s="12">
        <v>63373</v>
      </c>
      <c r="H6" s="13">
        <v>7.5499999999999998E-2</v>
      </c>
      <c r="I6" s="9" t="s">
        <v>20</v>
      </c>
      <c r="J6" s="9">
        <v>7.69</v>
      </c>
      <c r="K6" s="9">
        <v>36802.480000000003</v>
      </c>
      <c r="L6" s="9">
        <v>451.42</v>
      </c>
      <c r="M6" s="9">
        <v>81.53</v>
      </c>
      <c r="N6" s="13">
        <v>9.4399999999999998E-2</v>
      </c>
      <c r="O6" s="3"/>
      <c r="P6" s="1"/>
      <c r="Q6"/>
    </row>
    <row r="7" spans="1:17" ht="32.4" customHeight="1" x14ac:dyDescent="0.3">
      <c r="A7" s="14">
        <v>45869</v>
      </c>
      <c r="B7" s="9" t="s">
        <v>16</v>
      </c>
      <c r="C7" s="9" t="s">
        <v>22</v>
      </c>
      <c r="D7" s="9">
        <v>400</v>
      </c>
      <c r="E7" s="9" t="s">
        <v>19</v>
      </c>
      <c r="F7" s="12">
        <v>1512</v>
      </c>
      <c r="G7" s="12">
        <v>15511</v>
      </c>
      <c r="H7" s="13">
        <v>9.7500000000000003E-2</v>
      </c>
      <c r="I7" s="9" t="s">
        <v>20</v>
      </c>
      <c r="J7" s="9">
        <v>5.98</v>
      </c>
      <c r="K7" s="9">
        <v>9035.7800000000007</v>
      </c>
      <c r="L7" s="9">
        <v>220.5</v>
      </c>
      <c r="M7" s="9">
        <v>40.98</v>
      </c>
      <c r="N7" s="13">
        <v>0.14580000000000001</v>
      </c>
      <c r="O7" s="3"/>
      <c r="P7" s="1"/>
      <c r="Q7"/>
    </row>
    <row r="8" spans="1:17" ht="32.4" customHeight="1" x14ac:dyDescent="0.3">
      <c r="A8" s="14">
        <v>45838</v>
      </c>
      <c r="B8" s="9" t="s">
        <v>16</v>
      </c>
      <c r="C8" s="9" t="s">
        <v>17</v>
      </c>
      <c r="D8" s="9">
        <v>1600</v>
      </c>
      <c r="E8" s="9" t="s">
        <v>19</v>
      </c>
      <c r="F8" s="12">
        <v>3977</v>
      </c>
      <c r="G8" s="12">
        <v>47048</v>
      </c>
      <c r="H8" s="13">
        <v>8.4500000000000006E-2</v>
      </c>
      <c r="I8" s="9" t="s">
        <v>20</v>
      </c>
      <c r="J8" s="9">
        <v>8.4499999999999993</v>
      </c>
      <c r="K8" s="9">
        <v>33614.379999999997</v>
      </c>
      <c r="L8" s="9">
        <v>381.22</v>
      </c>
      <c r="M8" s="9">
        <v>88.18</v>
      </c>
      <c r="N8" s="13">
        <v>9.5899999999999999E-2</v>
      </c>
      <c r="O8" s="3"/>
      <c r="P8" s="1"/>
      <c r="Q8"/>
    </row>
    <row r="9" spans="1:17" ht="32.4" customHeight="1" x14ac:dyDescent="0.3">
      <c r="A9" s="14">
        <v>45838</v>
      </c>
      <c r="B9" s="9" t="s">
        <v>16</v>
      </c>
      <c r="C9" s="9" t="s">
        <v>22</v>
      </c>
      <c r="D9" s="9">
        <v>400</v>
      </c>
      <c r="E9" s="9" t="s">
        <v>19</v>
      </c>
      <c r="F9" s="12">
        <v>1036</v>
      </c>
      <c r="G9" s="12">
        <v>12503</v>
      </c>
      <c r="H9" s="13">
        <v>8.2900000000000001E-2</v>
      </c>
      <c r="I9" s="9" t="s">
        <v>20</v>
      </c>
      <c r="J9" s="9">
        <v>8.11</v>
      </c>
      <c r="K9" s="9">
        <v>8399.81</v>
      </c>
      <c r="L9" s="9">
        <v>165.5</v>
      </c>
      <c r="M9" s="9">
        <v>50.75</v>
      </c>
      <c r="N9" s="13">
        <v>0.15970000000000001</v>
      </c>
      <c r="P9"/>
      <c r="Q9"/>
    </row>
    <row r="10" spans="1:17" x14ac:dyDescent="0.3">
      <c r="F10" s="5"/>
    </row>
    <row r="11" spans="1:17" x14ac:dyDescent="0.3">
      <c r="F11" s="5"/>
      <c r="H11" s="6"/>
    </row>
    <row r="12" spans="1:17" x14ac:dyDescent="0.3">
      <c r="H12" s="6"/>
    </row>
    <row r="13" spans="1:17" x14ac:dyDescent="0.3">
      <c r="H13" s="6"/>
    </row>
    <row r="14" spans="1:17" x14ac:dyDescent="0.3">
      <c r="H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September</vt:lpstr>
      <vt:lpstr>August</vt:lpstr>
      <vt:lpstr>July</vt:lpstr>
      <vt:lpstr>June</vt:lpstr>
      <vt:lpstr>Google 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</dc:creator>
  <cp:lastModifiedBy>ameyamadkholkar@outlook.com</cp:lastModifiedBy>
  <dcterms:created xsi:type="dcterms:W3CDTF">2025-11-08T07:35:01Z</dcterms:created>
  <dcterms:modified xsi:type="dcterms:W3CDTF">2025-12-10T12:31:24Z</dcterms:modified>
</cp:coreProperties>
</file>